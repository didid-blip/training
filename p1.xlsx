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nn\OneDrive\Desktop\yumna\"/>
    </mc:Choice>
  </mc:AlternateContent>
  <bookViews>
    <workbookView xWindow="0" yWindow="0" windowWidth="24000" windowHeight="9735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10" sheetId="10" r:id="rId9"/>
    <sheet name="Sheet9" sheetId="9" r:id="rId10"/>
  </sheets>
  <definedNames>
    <definedName name="_xlnm._FilterDatabase" localSheetId="7" hidden="1">Sheet8!$A$2:$E$7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8" l="1"/>
  <c r="E6" i="8"/>
  <c r="E7" i="8"/>
  <c r="E4" i="8"/>
  <c r="E3" i="8"/>
  <c r="G14" i="1"/>
</calcChain>
</file>

<file path=xl/sharedStrings.xml><?xml version="1.0" encoding="utf-8"?>
<sst xmlns="http://schemas.openxmlformats.org/spreadsheetml/2006/main" count="174" uniqueCount="158">
  <si>
    <t>Competition Result</t>
  </si>
  <si>
    <t>Debate</t>
  </si>
  <si>
    <t>Quiz</t>
  </si>
  <si>
    <t>Power Point Presentation</t>
  </si>
  <si>
    <t>Ayman</t>
  </si>
  <si>
    <t>Ali Raza</t>
  </si>
  <si>
    <t>Ahmed Khan</t>
  </si>
  <si>
    <t>Ghauri Rashid</t>
  </si>
  <si>
    <t>Danial Rahim</t>
  </si>
  <si>
    <t>Waseem Tahir</t>
  </si>
  <si>
    <t>First</t>
  </si>
  <si>
    <t>Second</t>
  </si>
  <si>
    <t>Monthly Budget</t>
  </si>
  <si>
    <t>Salary</t>
  </si>
  <si>
    <t>Electricity Bill</t>
  </si>
  <si>
    <t>Water Bill</t>
  </si>
  <si>
    <t>Mobile</t>
  </si>
  <si>
    <t>Rent</t>
  </si>
  <si>
    <t>Conveyance</t>
  </si>
  <si>
    <t>Food</t>
  </si>
  <si>
    <t>Total</t>
  </si>
  <si>
    <t>Amount Saved</t>
  </si>
  <si>
    <t>Item Number</t>
  </si>
  <si>
    <t>Item No.</t>
  </si>
  <si>
    <t>Cost</t>
  </si>
  <si>
    <t>Quantity</t>
  </si>
  <si>
    <t>S01</t>
  </si>
  <si>
    <t>S02</t>
  </si>
  <si>
    <t>S03</t>
  </si>
  <si>
    <t>S04</t>
  </si>
  <si>
    <t>Mouse</t>
  </si>
  <si>
    <t>Keyboard</t>
  </si>
  <si>
    <t>Hard Disk</t>
  </si>
  <si>
    <t>USB</t>
  </si>
  <si>
    <t>S No.</t>
  </si>
  <si>
    <t>Assessment</t>
  </si>
  <si>
    <t>Marks</t>
  </si>
  <si>
    <t>Formative Assessment - I
(FA - I)</t>
  </si>
  <si>
    <t>Formative Assessment - II
(FA - II)</t>
  </si>
  <si>
    <t>Formative Assessment - III
(FA - III)</t>
  </si>
  <si>
    <t>Formative Assessment - IV
(FA - IV)</t>
  </si>
  <si>
    <t>S. No.</t>
  </si>
  <si>
    <t>Kyro Pvt. Ltd.</t>
  </si>
  <si>
    <t>Purchase</t>
  </si>
  <si>
    <t>Production</t>
  </si>
  <si>
    <t>Marketing</t>
  </si>
  <si>
    <t>Administration</t>
  </si>
  <si>
    <t>Year I</t>
  </si>
  <si>
    <t>Year II</t>
  </si>
  <si>
    <t>Year III</t>
  </si>
  <si>
    <t>Chemical Formula</t>
  </si>
  <si>
    <t xml:space="preserve">Chemical Name </t>
  </si>
  <si>
    <t>Sulphuric Acid</t>
  </si>
  <si>
    <t>Nitric Acid</t>
  </si>
  <si>
    <t>Hydrochloric Acid</t>
  </si>
  <si>
    <t>Potassium Permanganate</t>
  </si>
  <si>
    <t>Sodium Bisulphate</t>
  </si>
  <si>
    <t>HCl</t>
  </si>
  <si>
    <r>
      <t>H</t>
    </r>
    <r>
      <rPr>
        <vertAlign val="subscript"/>
        <sz val="20"/>
        <color theme="1"/>
        <rFont val="Times New Roman"/>
        <family val="1"/>
      </rPr>
      <t>2</t>
    </r>
    <r>
      <rPr>
        <sz val="20"/>
        <color theme="1"/>
        <rFont val="Times New Roman"/>
        <family val="1"/>
      </rPr>
      <t>SO</t>
    </r>
    <r>
      <rPr>
        <vertAlign val="subscript"/>
        <sz val="20"/>
        <color theme="1"/>
        <rFont val="Times New Roman"/>
        <family val="1"/>
      </rPr>
      <t>4</t>
    </r>
  </si>
  <si>
    <r>
      <t>HNO</t>
    </r>
    <r>
      <rPr>
        <vertAlign val="subscript"/>
        <sz val="20"/>
        <color theme="1"/>
        <rFont val="Times New Roman"/>
        <family val="1"/>
      </rPr>
      <t>4</t>
    </r>
  </si>
  <si>
    <r>
      <t>KMnO</t>
    </r>
    <r>
      <rPr>
        <vertAlign val="subscript"/>
        <sz val="20"/>
        <color theme="1"/>
        <rFont val="Times New Roman"/>
        <family val="1"/>
      </rPr>
      <t>4</t>
    </r>
  </si>
  <si>
    <r>
      <t>NaHSO</t>
    </r>
    <r>
      <rPr>
        <vertAlign val="subscript"/>
        <sz val="20"/>
        <color theme="1"/>
        <rFont val="Times New Roman"/>
        <family val="1"/>
      </rPr>
      <t>4</t>
    </r>
  </si>
  <si>
    <t>Gaseous Composition of Air</t>
  </si>
  <si>
    <t>Constituent</t>
  </si>
  <si>
    <t>Chemical Symbol</t>
  </si>
  <si>
    <t>Percentage</t>
  </si>
  <si>
    <t>Niyrogen</t>
  </si>
  <si>
    <t>Oxygen</t>
  </si>
  <si>
    <t>Argon</t>
  </si>
  <si>
    <t>Carbondioxide</t>
  </si>
  <si>
    <t>Neon</t>
  </si>
  <si>
    <t>Helium</t>
  </si>
  <si>
    <t>Methane</t>
  </si>
  <si>
    <t>Krypton</t>
  </si>
  <si>
    <t>Hydrogen</t>
  </si>
  <si>
    <t>Nitrogrn oxide</t>
  </si>
  <si>
    <t>Xenon</t>
  </si>
  <si>
    <t>Ozone</t>
  </si>
  <si>
    <t>Carbon monoxide</t>
  </si>
  <si>
    <t>Sulphur dioxide</t>
  </si>
  <si>
    <t>Nitrogen dioxide</t>
  </si>
  <si>
    <t>Ammonia</t>
  </si>
  <si>
    <t>Ar</t>
  </si>
  <si>
    <t>Ne</t>
  </si>
  <si>
    <t>He</t>
  </si>
  <si>
    <t>Kr</t>
  </si>
  <si>
    <t>Xe</t>
  </si>
  <si>
    <t>CO</t>
  </si>
  <si>
    <t>C</t>
  </si>
  <si>
    <t>A</t>
  </si>
  <si>
    <r>
      <t>N</t>
    </r>
    <r>
      <rPr>
        <vertAlign val="subscript"/>
        <sz val="18"/>
        <color theme="1"/>
        <rFont val="Times New Roman"/>
        <family val="1"/>
      </rPr>
      <t>2</t>
    </r>
  </si>
  <si>
    <r>
      <t>O</t>
    </r>
    <r>
      <rPr>
        <vertAlign val="subscript"/>
        <sz val="18"/>
        <color theme="1"/>
        <rFont val="Times New Roman"/>
        <family val="1"/>
      </rPr>
      <t>2</t>
    </r>
  </si>
  <si>
    <r>
      <t>CO</t>
    </r>
    <r>
      <rPr>
        <vertAlign val="subscript"/>
        <sz val="18"/>
        <color theme="1"/>
        <rFont val="Times New Roman"/>
        <family val="1"/>
      </rPr>
      <t>2</t>
    </r>
  </si>
  <si>
    <r>
      <t>CH</t>
    </r>
    <r>
      <rPr>
        <vertAlign val="subscript"/>
        <sz val="18"/>
        <color theme="1"/>
        <rFont val="Times New Roman"/>
        <family val="1"/>
      </rPr>
      <t>4</t>
    </r>
  </si>
  <si>
    <r>
      <t>H</t>
    </r>
    <r>
      <rPr>
        <vertAlign val="subscript"/>
        <sz val="18"/>
        <color theme="1"/>
        <rFont val="Times New Roman"/>
        <family val="1"/>
      </rPr>
      <t>2</t>
    </r>
  </si>
  <si>
    <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</si>
  <si>
    <r>
      <t>O</t>
    </r>
    <r>
      <rPr>
        <vertAlign val="subscript"/>
        <sz val="18"/>
        <color theme="1"/>
        <rFont val="Times New Roman"/>
        <family val="1"/>
      </rPr>
      <t>3</t>
    </r>
  </si>
  <si>
    <r>
      <t>SO</t>
    </r>
    <r>
      <rPr>
        <vertAlign val="subscript"/>
        <sz val="18"/>
        <color theme="1"/>
        <rFont val="Times New Roman"/>
        <family val="1"/>
      </rPr>
      <t>2</t>
    </r>
  </si>
  <si>
    <r>
      <t>NO</t>
    </r>
    <r>
      <rPr>
        <vertAlign val="subscript"/>
        <sz val="18"/>
        <color theme="1"/>
        <rFont val="Times New Roman"/>
        <family val="1"/>
      </rPr>
      <t>2</t>
    </r>
  </si>
  <si>
    <r>
      <t>NH</t>
    </r>
    <r>
      <rPr>
        <vertAlign val="subscript"/>
        <sz val="18"/>
        <color theme="1"/>
        <rFont val="Times New Roman"/>
        <family val="1"/>
      </rPr>
      <t>3</t>
    </r>
  </si>
  <si>
    <t>Facts About Temperature</t>
  </si>
  <si>
    <t>Description</t>
  </si>
  <si>
    <t>Temperature in 
Celsius</t>
  </si>
  <si>
    <t>Temperature in
 Fahrenheit</t>
  </si>
  <si>
    <t>Boiling Water</t>
  </si>
  <si>
    <t>Hot Water Bath</t>
  </si>
  <si>
    <t>Body Temperature</t>
  </si>
  <si>
    <t>Room Temperature</t>
  </si>
  <si>
    <t>Cold Day</t>
  </si>
  <si>
    <t xml:space="preserve">Freezing Point of Water </t>
  </si>
  <si>
    <t>Very Cold Day</t>
  </si>
  <si>
    <t xml:space="preserve">Extremely Cold Day </t>
  </si>
  <si>
    <t>Diseases Caused By Deficiency of Vitamins</t>
  </si>
  <si>
    <t>Vitamins</t>
  </si>
  <si>
    <t>Disease</t>
  </si>
  <si>
    <t>Symptoms</t>
  </si>
  <si>
    <t>Diet should include</t>
  </si>
  <si>
    <t>B1</t>
  </si>
  <si>
    <t>D</t>
  </si>
  <si>
    <t>Loss of vision</t>
  </si>
  <si>
    <t>Beri-beri</t>
  </si>
  <si>
    <t>Scurvy</t>
  </si>
  <si>
    <t>Rickets</t>
  </si>
  <si>
    <t>bleeding gums</t>
  </si>
  <si>
    <t>loss of weight and 
weak muscles</t>
  </si>
  <si>
    <t>poor vision in dim
light</t>
  </si>
  <si>
    <t>soft and bent bones</t>
  </si>
  <si>
    <t xml:space="preserve">carrot,mangoes,  butter, egg yolk
</t>
  </si>
  <si>
    <t>Beans, meat, eggs, 
corn</t>
  </si>
  <si>
    <t>Oranges. tomatoes,                                                   lemon, guava, and,                                                               amla</t>
  </si>
  <si>
    <t>Fish, eggs, milk,         butter</t>
  </si>
  <si>
    <t>Myra Pvt. Ltd. Employee Details</t>
  </si>
  <si>
    <t>EmpNumber</t>
  </si>
  <si>
    <t>E01</t>
  </si>
  <si>
    <t>E02</t>
  </si>
  <si>
    <t>E03</t>
  </si>
  <si>
    <t>E04</t>
  </si>
  <si>
    <t>E05</t>
  </si>
  <si>
    <t>Sabika Munaf</t>
  </si>
  <si>
    <t>Dariya Sameer</t>
  </si>
  <si>
    <t>Mona Ahmed</t>
  </si>
  <si>
    <t>Anas Arif</t>
  </si>
  <si>
    <t>Omar Asif</t>
  </si>
  <si>
    <t>Commission</t>
  </si>
  <si>
    <t>Employee Name</t>
  </si>
  <si>
    <t>Last Name</t>
  </si>
  <si>
    <t>First Name</t>
  </si>
  <si>
    <t>Full Name</t>
  </si>
  <si>
    <t>Chaudhry</t>
  </si>
  <si>
    <t>Sabeen</t>
  </si>
  <si>
    <t>Khan</t>
  </si>
  <si>
    <t xml:space="preserve">Naeel </t>
  </si>
  <si>
    <t>Hamid</t>
  </si>
  <si>
    <t>Naushad</t>
  </si>
  <si>
    <t>Javed</t>
  </si>
  <si>
    <t>Akram</t>
  </si>
  <si>
    <t>Sabeen Chaudhry</t>
  </si>
  <si>
    <t>Naeel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</si>
</sst>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s&quot;* #,##0.00_-;\-&quot;Rs&quot;* #,##0.00_-;_-&quot;Rs&quot;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sz val="16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u val="double"/>
      <sz val="12"/>
      <color theme="1"/>
      <name val="Times New Roman"/>
      <family val="1"/>
    </font>
    <font>
      <b/>
      <u val="double"/>
      <sz val="12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20"/>
      <color theme="1"/>
      <name val="Times New Roman"/>
      <family val="1"/>
    </font>
    <font>
      <vertAlign val="subscript"/>
      <sz val="18"/>
      <color theme="1"/>
      <name val="Times New Roman"/>
      <family val="1"/>
    </font>
    <font>
      <sz val="20"/>
      <color theme="1"/>
      <name val="Calibri"/>
      <family val="2"/>
      <charset val="1"/>
      <scheme val="minor"/>
    </font>
    <font>
      <sz val="24"/>
      <color theme="1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4" fillId="3" borderId="1" xfId="0" applyFont="1" applyFill="1" applyBorder="1" applyAlignment="1">
      <alignment horizontal="center"/>
    </xf>
    <xf numFmtId="0" fontId="0" fillId="3" borderId="1" xfId="0" applyFill="1" applyBorder="1"/>
    <xf numFmtId="0" fontId="4" fillId="7" borderId="1" xfId="0" applyFont="1" applyFill="1" applyBorder="1" applyAlignment="1">
      <alignment horizontal="center"/>
    </xf>
    <xf numFmtId="0" fontId="0" fillId="7" borderId="1" xfId="0" applyFill="1" applyBorder="1"/>
    <xf numFmtId="0" fontId="4" fillId="9" borderId="1" xfId="0" applyFont="1" applyFill="1" applyBorder="1" applyAlignment="1">
      <alignment horizontal="center"/>
    </xf>
    <xf numFmtId="0" fontId="0" fillId="9" borderId="1" xfId="0" applyFill="1" applyBorder="1"/>
    <xf numFmtId="43" fontId="0" fillId="0" borderId="0" xfId="1" applyFont="1"/>
    <xf numFmtId="1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11" fillId="5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11" fillId="4" borderId="6" xfId="0" applyFont="1" applyFill="1" applyBorder="1"/>
    <xf numFmtId="44" fontId="11" fillId="5" borderId="2" xfId="0" applyNumberFormat="1" applyFont="1" applyFill="1" applyBorder="1"/>
    <xf numFmtId="44" fontId="2" fillId="4" borderId="7" xfId="0" applyNumberFormat="1" applyFont="1" applyFill="1" applyBorder="1"/>
    <xf numFmtId="44" fontId="2" fillId="4" borderId="8" xfId="0" applyNumberFormat="1" applyFont="1" applyFill="1" applyBorder="1"/>
    <xf numFmtId="44" fontId="2" fillId="4" borderId="9" xfId="0" applyNumberFormat="1" applyFont="1" applyFill="1" applyBorder="1"/>
    <xf numFmtId="44" fontId="2" fillId="5" borderId="2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13" fillId="8" borderId="2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textRotation="45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44" fontId="0" fillId="0" borderId="2" xfId="0" applyNumberFormat="1" applyBorder="1"/>
    <xf numFmtId="44" fontId="0" fillId="0" borderId="2" xfId="2" applyFont="1" applyBorder="1"/>
    <xf numFmtId="0" fontId="15" fillId="0" borderId="0" xfId="0" applyFont="1" applyAlignment="1">
      <alignment horizontal="center"/>
    </xf>
    <xf numFmtId="0" fontId="10" fillId="0" borderId="0" xfId="0" applyFont="1"/>
    <xf numFmtId="43" fontId="16" fillId="0" borderId="0" xfId="1" applyFont="1"/>
    <xf numFmtId="0" fontId="17" fillId="0" borderId="0" xfId="0" applyFont="1"/>
    <xf numFmtId="0" fontId="6" fillId="6" borderId="10" xfId="0" applyFont="1" applyFill="1" applyBorder="1" applyAlignment="1">
      <alignment horizontal="center"/>
    </xf>
    <xf numFmtId="0" fontId="6" fillId="6" borderId="10" xfId="0" applyFont="1" applyFill="1" applyBorder="1"/>
    <xf numFmtId="0" fontId="3" fillId="6" borderId="10" xfId="0" applyFont="1" applyFill="1" applyBorder="1" applyAlignment="1">
      <alignment horizontal="center"/>
    </xf>
    <xf numFmtId="0" fontId="3" fillId="6" borderId="10" xfId="0" applyFont="1" applyFill="1" applyBorder="1"/>
    <xf numFmtId="0" fontId="20" fillId="0" borderId="2" xfId="0" applyFont="1" applyBorder="1" applyAlignment="1">
      <alignment horizontal="center"/>
    </xf>
    <xf numFmtId="0" fontId="8" fillId="0" borderId="2" xfId="0" applyFont="1" applyBorder="1"/>
    <xf numFmtId="0" fontId="0" fillId="0" borderId="0" xfId="0" applyAlignment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/>
    </xf>
    <xf numFmtId="44" fontId="8" fillId="0" borderId="2" xfId="2" applyFont="1" applyBorder="1"/>
    <xf numFmtId="44" fontId="8" fillId="0" borderId="2" xfId="0" applyNumberFormat="1" applyFont="1" applyBorder="1"/>
    <xf numFmtId="0" fontId="9" fillId="2" borderId="1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Normal="100" workbookViewId="0">
      <selection activeCell="M10" sqref="M10"/>
    </sheetView>
  </sheetViews>
  <sheetFormatPr defaultRowHeight="15" x14ac:dyDescent="0.25"/>
  <cols>
    <col min="1" max="1" width="33.7109375" customWidth="1"/>
    <col min="2" max="2" width="19.28515625" customWidth="1"/>
    <col min="3" max="3" width="18.28515625" customWidth="1"/>
    <col min="6" max="6" width="19.140625" customWidth="1"/>
    <col min="7" max="7" width="18.140625" customWidth="1"/>
    <col min="9" max="9" width="13.85546875" customWidth="1"/>
    <col min="10" max="10" width="13.140625" customWidth="1"/>
    <col min="11" max="11" width="10.5703125" customWidth="1"/>
    <col min="12" max="12" width="12.42578125" customWidth="1"/>
    <col min="13" max="13" width="11" customWidth="1"/>
  </cols>
  <sheetData>
    <row r="1" spans="1:12" ht="23.25" customHeight="1" thickBot="1" x14ac:dyDescent="0.35">
      <c r="A1" s="55" t="s">
        <v>0</v>
      </c>
      <c r="B1" s="55"/>
      <c r="C1" s="55"/>
      <c r="I1" s="25" t="s">
        <v>22</v>
      </c>
      <c r="J1" s="25" t="s">
        <v>23</v>
      </c>
      <c r="K1" s="26" t="s">
        <v>24</v>
      </c>
      <c r="L1" s="26" t="s">
        <v>25</v>
      </c>
    </row>
    <row r="2" spans="1:12" ht="21" thickBot="1" x14ac:dyDescent="0.35">
      <c r="A2" s="3" t="s">
        <v>1</v>
      </c>
      <c r="B2" s="4" t="s">
        <v>4</v>
      </c>
      <c r="C2" s="4" t="s">
        <v>10</v>
      </c>
      <c r="E2" s="10"/>
      <c r="F2" s="56" t="s">
        <v>12</v>
      </c>
      <c r="G2" s="56"/>
      <c r="I2" s="22" t="s">
        <v>26</v>
      </c>
      <c r="J2" s="24" t="s">
        <v>30</v>
      </c>
      <c r="K2" s="22">
        <v>350</v>
      </c>
      <c r="L2" s="22">
        <v>12</v>
      </c>
    </row>
    <row r="3" spans="1:12" ht="21" thickBot="1" x14ac:dyDescent="0.35">
      <c r="A3" s="3"/>
      <c r="B3" s="4" t="s">
        <v>5</v>
      </c>
      <c r="C3" s="4" t="s">
        <v>11</v>
      </c>
      <c r="I3" s="22" t="s">
        <v>27</v>
      </c>
      <c r="J3" s="24" t="s">
        <v>31</v>
      </c>
      <c r="K3" s="22">
        <v>1200</v>
      </c>
      <c r="L3" s="22">
        <v>10</v>
      </c>
    </row>
    <row r="4" spans="1:12" ht="21" thickBot="1" x14ac:dyDescent="0.35">
      <c r="A4" s="5" t="s">
        <v>2</v>
      </c>
      <c r="B4" s="6" t="s">
        <v>6</v>
      </c>
      <c r="C4" s="6" t="s">
        <v>10</v>
      </c>
      <c r="F4" s="13" t="s">
        <v>13</v>
      </c>
      <c r="G4" s="17">
        <v>55000</v>
      </c>
      <c r="I4" s="22" t="s">
        <v>28</v>
      </c>
      <c r="J4" s="24" t="s">
        <v>32</v>
      </c>
      <c r="K4" s="22">
        <v>5800</v>
      </c>
      <c r="L4" s="22">
        <v>5</v>
      </c>
    </row>
    <row r="5" spans="1:12" ht="21" thickBot="1" x14ac:dyDescent="0.35">
      <c r="A5" s="5"/>
      <c r="B5" s="6" t="s">
        <v>7</v>
      </c>
      <c r="C5" s="6" t="s">
        <v>11</v>
      </c>
      <c r="F5" s="11"/>
      <c r="G5" s="12"/>
      <c r="I5" s="22" t="s">
        <v>29</v>
      </c>
      <c r="J5" s="24" t="s">
        <v>33</v>
      </c>
      <c r="K5" s="22">
        <v>500</v>
      </c>
      <c r="L5" s="22">
        <v>9</v>
      </c>
    </row>
    <row r="6" spans="1:12" ht="20.25" x14ac:dyDescent="0.3">
      <c r="A6" s="7" t="s">
        <v>3</v>
      </c>
      <c r="B6" s="8" t="s">
        <v>8</v>
      </c>
      <c r="C6" s="8" t="s">
        <v>10</v>
      </c>
      <c r="F6" s="14" t="s">
        <v>14</v>
      </c>
      <c r="G6" s="18">
        <v>7680</v>
      </c>
      <c r="I6" s="1"/>
    </row>
    <row r="7" spans="1:12" ht="20.25" x14ac:dyDescent="0.3">
      <c r="A7" s="7"/>
      <c r="B7" s="8" t="s">
        <v>9</v>
      </c>
      <c r="C7" s="8" t="s">
        <v>11</v>
      </c>
      <c r="F7" s="15" t="s">
        <v>15</v>
      </c>
      <c r="G7" s="19">
        <v>400</v>
      </c>
    </row>
    <row r="8" spans="1:12" ht="15.75" x14ac:dyDescent="0.25">
      <c r="F8" s="15" t="s">
        <v>16</v>
      </c>
      <c r="G8" s="19">
        <v>650</v>
      </c>
    </row>
    <row r="9" spans="1:12" ht="15.75" x14ac:dyDescent="0.25">
      <c r="F9" s="15" t="s">
        <v>17</v>
      </c>
      <c r="G9" s="19">
        <v>15000</v>
      </c>
    </row>
    <row r="10" spans="1:12" ht="15.75" x14ac:dyDescent="0.25">
      <c r="F10" s="15" t="s">
        <v>18</v>
      </c>
      <c r="G10" s="19">
        <v>12000</v>
      </c>
    </row>
    <row r="11" spans="1:12" ht="15.75" x14ac:dyDescent="0.25">
      <c r="F11" s="15" t="s">
        <v>19</v>
      </c>
      <c r="G11" s="19">
        <v>9000</v>
      </c>
    </row>
    <row r="12" spans="1:12" ht="16.5" thickBot="1" x14ac:dyDescent="0.3">
      <c r="D12" s="2"/>
      <c r="F12" s="16" t="s">
        <v>20</v>
      </c>
      <c r="G12" s="20">
        <v>44730</v>
      </c>
    </row>
    <row r="13" spans="1:12" ht="16.5" thickBot="1" x14ac:dyDescent="0.3">
      <c r="F13" s="11"/>
      <c r="G13" s="12"/>
    </row>
    <row r="14" spans="1:12" ht="16.5" thickBot="1" x14ac:dyDescent="0.3">
      <c r="F14" s="13" t="s">
        <v>21</v>
      </c>
      <c r="G14" s="21">
        <f>G4-G12</f>
        <v>10270</v>
      </c>
    </row>
    <row r="18" spans="5:5" x14ac:dyDescent="0.25">
      <c r="E18" s="9"/>
    </row>
  </sheetData>
  <mergeCells count="2">
    <mergeCell ref="A1:C1"/>
    <mergeCell ref="F2:G2"/>
  </mergeCells>
  <pageMargins left="0.25" right="0.25" top="0.75" bottom="0.75" header="0.3" footer="0.3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P13" sqref="P13"/>
    </sheetView>
  </sheetViews>
  <sheetFormatPr defaultRowHeight="15" x14ac:dyDescent="0.25"/>
  <cols>
    <col min="1" max="1" width="11.7109375" customWidth="1"/>
    <col min="2" max="2" width="25.140625" customWidth="1"/>
    <col min="3" max="3" width="14.140625" customWidth="1"/>
    <col min="6" max="6" width="3.85546875" customWidth="1"/>
    <col min="7" max="7" width="13.5703125" customWidth="1"/>
    <col min="8" max="8" width="13.85546875" customWidth="1"/>
    <col min="9" max="9" width="14" customWidth="1"/>
    <col min="10" max="10" width="14.28515625" customWidth="1"/>
    <col min="11" max="11" width="15" customWidth="1"/>
  </cols>
  <sheetData>
    <row r="1" spans="1:11" ht="66.75" x14ac:dyDescent="0.25">
      <c r="A1" s="28" t="s">
        <v>41</v>
      </c>
      <c r="B1" s="28" t="s">
        <v>35</v>
      </c>
      <c r="C1" s="28" t="s">
        <v>36</v>
      </c>
    </row>
    <row r="2" spans="1:11" ht="30" x14ac:dyDescent="0.25">
      <c r="A2" s="1">
        <v>1</v>
      </c>
      <c r="B2" s="27" t="s">
        <v>37</v>
      </c>
      <c r="C2" s="1">
        <v>10</v>
      </c>
    </row>
    <row r="3" spans="1:11" ht="30" x14ac:dyDescent="0.25">
      <c r="A3" s="1">
        <v>2</v>
      </c>
      <c r="B3" s="27" t="s">
        <v>38</v>
      </c>
      <c r="C3" s="1">
        <v>10</v>
      </c>
    </row>
    <row r="4" spans="1:11" ht="30" x14ac:dyDescent="0.25">
      <c r="A4" s="1">
        <v>3</v>
      </c>
      <c r="B4" s="27" t="s">
        <v>37</v>
      </c>
      <c r="C4" s="1">
        <v>30</v>
      </c>
    </row>
    <row r="5" spans="1:11" ht="30" x14ac:dyDescent="0.25">
      <c r="A5" s="1">
        <v>4</v>
      </c>
      <c r="B5" s="27" t="s">
        <v>39</v>
      </c>
      <c r="C5" s="1">
        <v>10</v>
      </c>
    </row>
    <row r="6" spans="1:11" ht="30" x14ac:dyDescent="0.25">
      <c r="A6" s="1">
        <v>5</v>
      </c>
      <c r="B6" s="27" t="s">
        <v>40</v>
      </c>
      <c r="C6" s="1">
        <v>10</v>
      </c>
    </row>
    <row r="7" spans="1:11" ht="30" x14ac:dyDescent="0.25">
      <c r="A7" s="1">
        <v>6</v>
      </c>
      <c r="B7" s="27" t="s">
        <v>38</v>
      </c>
      <c r="C7" s="1">
        <v>30</v>
      </c>
    </row>
    <row r="8" spans="1:11" x14ac:dyDescent="0.25">
      <c r="A8" s="1"/>
      <c r="B8" s="27"/>
    </row>
    <row r="9" spans="1:11" ht="15.75" thickBot="1" x14ac:dyDescent="0.3">
      <c r="A9" s="1"/>
    </row>
    <row r="10" spans="1:11" ht="16.5" thickBot="1" x14ac:dyDescent="0.3">
      <c r="G10" s="57" t="s">
        <v>42</v>
      </c>
      <c r="H10" s="57"/>
      <c r="I10" s="57"/>
      <c r="J10" s="57"/>
      <c r="K10" s="57"/>
    </row>
    <row r="11" spans="1:11" ht="16.5" thickBot="1" x14ac:dyDescent="0.3">
      <c r="G11" s="23"/>
      <c r="H11" s="29" t="s">
        <v>43</v>
      </c>
      <c r="I11" s="29" t="s">
        <v>44</v>
      </c>
      <c r="J11" s="29" t="s">
        <v>45</v>
      </c>
      <c r="K11" s="29" t="s">
        <v>46</v>
      </c>
    </row>
    <row r="12" spans="1:11" ht="15.75" thickBot="1" x14ac:dyDescent="0.3">
      <c r="G12" s="30" t="s">
        <v>47</v>
      </c>
      <c r="H12" s="31">
        <v>100000</v>
      </c>
      <c r="I12" s="32">
        <v>150000</v>
      </c>
      <c r="J12" s="32">
        <v>500000</v>
      </c>
      <c r="K12" s="32">
        <v>600000</v>
      </c>
    </row>
    <row r="13" spans="1:11" ht="15.75" thickBot="1" x14ac:dyDescent="0.3">
      <c r="G13" s="30" t="s">
        <v>48</v>
      </c>
      <c r="H13" s="31">
        <v>200000</v>
      </c>
      <c r="I13" s="32">
        <v>160000</v>
      </c>
      <c r="J13" s="32">
        <v>400000</v>
      </c>
      <c r="K13" s="32">
        <v>500000</v>
      </c>
    </row>
    <row r="14" spans="1:11" ht="15.75" thickBot="1" x14ac:dyDescent="0.3">
      <c r="G14" s="30" t="s">
        <v>49</v>
      </c>
      <c r="H14" s="31">
        <v>300000</v>
      </c>
      <c r="I14" s="32">
        <v>170000</v>
      </c>
      <c r="J14" s="32">
        <v>350000</v>
      </c>
      <c r="K14" s="32">
        <v>400000</v>
      </c>
    </row>
  </sheetData>
  <mergeCells count="1">
    <mergeCell ref="G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B6"/>
    </sheetView>
  </sheetViews>
  <sheetFormatPr defaultRowHeight="15" x14ac:dyDescent="0.25"/>
  <cols>
    <col min="2" max="2" width="31.140625" customWidth="1"/>
    <col min="3" max="3" width="23.28515625" customWidth="1"/>
  </cols>
  <sheetData>
    <row r="1" spans="1:4" ht="21" x14ac:dyDescent="0.35">
      <c r="A1" s="33" t="s">
        <v>34</v>
      </c>
      <c r="B1" s="33" t="s">
        <v>51</v>
      </c>
      <c r="C1" s="33" t="s">
        <v>50</v>
      </c>
      <c r="D1" s="34"/>
    </row>
    <row r="2" spans="1:4" ht="17.25" x14ac:dyDescent="0.25">
      <c r="A2">
        <v>1</v>
      </c>
      <c r="B2" t="s">
        <v>52</v>
      </c>
      <c r="C2" s="35"/>
    </row>
    <row r="3" spans="1:4" x14ac:dyDescent="0.25">
      <c r="A3">
        <v>2</v>
      </c>
      <c r="B3" t="s">
        <v>53</v>
      </c>
    </row>
    <row r="4" spans="1:4" x14ac:dyDescent="0.25">
      <c r="A4">
        <v>3</v>
      </c>
      <c r="B4" t="s">
        <v>54</v>
      </c>
    </row>
    <row r="5" spans="1:4" x14ac:dyDescent="0.25">
      <c r="A5">
        <v>4</v>
      </c>
      <c r="B5" t="s">
        <v>55</v>
      </c>
    </row>
    <row r="6" spans="1:4" x14ac:dyDescent="0.25">
      <c r="A6">
        <v>5</v>
      </c>
      <c r="B6" t="s">
        <v>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3" sqref="B23"/>
    </sheetView>
  </sheetViews>
  <sheetFormatPr defaultRowHeight="15" x14ac:dyDescent="0.25"/>
  <cols>
    <col min="1" max="1" width="13.7109375" customWidth="1"/>
    <col min="2" max="2" width="40.140625" customWidth="1"/>
    <col min="3" max="3" width="37.5703125" customWidth="1"/>
    <col min="4" max="4" width="9.85546875" customWidth="1"/>
  </cols>
  <sheetData>
    <row r="1" spans="1:5" ht="30.75" thickBot="1" x14ac:dyDescent="0.45">
      <c r="A1" s="37" t="s">
        <v>34</v>
      </c>
      <c r="B1" s="37" t="s">
        <v>51</v>
      </c>
      <c r="C1" s="38" t="s">
        <v>50</v>
      </c>
      <c r="D1" s="36"/>
      <c r="E1" s="36"/>
    </row>
    <row r="2" spans="1:5" ht="30" thickBot="1" x14ac:dyDescent="0.55000000000000004">
      <c r="A2" s="39">
        <v>1</v>
      </c>
      <c r="B2" s="40" t="s">
        <v>52</v>
      </c>
      <c r="C2" s="40" t="s">
        <v>58</v>
      </c>
    </row>
    <row r="3" spans="1:5" ht="30" thickBot="1" x14ac:dyDescent="0.55000000000000004">
      <c r="A3" s="39">
        <v>2</v>
      </c>
      <c r="B3" s="40" t="s">
        <v>53</v>
      </c>
      <c r="C3" s="40" t="s">
        <v>59</v>
      </c>
    </row>
    <row r="4" spans="1:5" ht="27" thickBot="1" x14ac:dyDescent="0.45">
      <c r="A4" s="39">
        <v>3</v>
      </c>
      <c r="B4" s="40" t="s">
        <v>54</v>
      </c>
      <c r="C4" s="40" t="s">
        <v>57</v>
      </c>
    </row>
    <row r="5" spans="1:5" ht="30" thickBot="1" x14ac:dyDescent="0.55000000000000004">
      <c r="A5" s="39">
        <v>4</v>
      </c>
      <c r="B5" s="40" t="s">
        <v>55</v>
      </c>
      <c r="C5" s="40" t="s">
        <v>60</v>
      </c>
    </row>
    <row r="6" spans="1:5" ht="30" thickBot="1" x14ac:dyDescent="0.55000000000000004">
      <c r="A6" s="39">
        <v>5</v>
      </c>
      <c r="B6" s="40" t="s">
        <v>56</v>
      </c>
      <c r="C6" s="40" t="s">
        <v>61</v>
      </c>
    </row>
  </sheetData>
  <pageMargins left="0.7" right="0.7" top="0.75" bottom="0.75" header="0.3" footer="0.3"/>
  <pageSetup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I12" sqref="I12"/>
    </sheetView>
  </sheetViews>
  <sheetFormatPr defaultRowHeight="15" x14ac:dyDescent="0.25"/>
  <cols>
    <col min="1" max="1" width="22.7109375" customWidth="1"/>
    <col min="2" max="2" width="38.85546875" customWidth="1"/>
    <col min="3" max="3" width="26.7109375" customWidth="1"/>
  </cols>
  <sheetData>
    <row r="1" spans="1:3" ht="32.25" thickBot="1" x14ac:dyDescent="0.55000000000000004">
      <c r="A1" s="58" t="s">
        <v>62</v>
      </c>
      <c r="B1" s="58"/>
      <c r="C1" s="58"/>
    </row>
    <row r="2" spans="1:3" ht="27" thickBot="1" x14ac:dyDescent="0.45">
      <c r="A2" s="41" t="s">
        <v>63</v>
      </c>
      <c r="B2" s="41" t="s">
        <v>64</v>
      </c>
      <c r="C2" s="41" t="s">
        <v>65</v>
      </c>
    </row>
    <row r="3" spans="1:3" ht="27" thickBot="1" x14ac:dyDescent="0.5">
      <c r="A3" s="42" t="s">
        <v>66</v>
      </c>
      <c r="B3" s="42" t="s">
        <v>90</v>
      </c>
      <c r="C3" s="42">
        <v>78.084000000000003</v>
      </c>
    </row>
    <row r="4" spans="1:3" ht="27" thickBot="1" x14ac:dyDescent="0.5">
      <c r="A4" s="42" t="s">
        <v>67</v>
      </c>
      <c r="B4" s="42" t="s">
        <v>91</v>
      </c>
      <c r="C4" s="42">
        <v>20.946999999999999</v>
      </c>
    </row>
    <row r="5" spans="1:3" ht="24" thickBot="1" x14ac:dyDescent="0.4">
      <c r="A5" s="42" t="s">
        <v>68</v>
      </c>
      <c r="B5" s="42" t="s">
        <v>82</v>
      </c>
      <c r="C5" s="42">
        <v>0.93400000000000005</v>
      </c>
    </row>
    <row r="6" spans="1:3" ht="27" thickBot="1" x14ac:dyDescent="0.5">
      <c r="A6" s="42" t="s">
        <v>69</v>
      </c>
      <c r="B6" s="42" t="s">
        <v>92</v>
      </c>
      <c r="C6" s="42">
        <v>3.5000000000000003E-2</v>
      </c>
    </row>
    <row r="7" spans="1:3" ht="24" thickBot="1" x14ac:dyDescent="0.4">
      <c r="A7" s="42" t="s">
        <v>70</v>
      </c>
      <c r="B7" s="42" t="s">
        <v>83</v>
      </c>
      <c r="C7" s="42">
        <v>1.818E-3</v>
      </c>
    </row>
    <row r="8" spans="1:3" ht="24" thickBot="1" x14ac:dyDescent="0.4">
      <c r="A8" s="42" t="s">
        <v>71</v>
      </c>
      <c r="B8" s="42" t="s">
        <v>84</v>
      </c>
      <c r="C8" s="42">
        <v>5.2400000000000005E-4</v>
      </c>
    </row>
    <row r="9" spans="1:3" ht="27" thickBot="1" x14ac:dyDescent="0.5">
      <c r="A9" s="42" t="s">
        <v>72</v>
      </c>
      <c r="B9" s="42" t="s">
        <v>93</v>
      </c>
      <c r="C9" s="42">
        <v>1.7000000000000001E-4</v>
      </c>
    </row>
    <row r="10" spans="1:3" ht="24" thickBot="1" x14ac:dyDescent="0.4">
      <c r="A10" s="42" t="s">
        <v>73</v>
      </c>
      <c r="B10" s="42" t="s">
        <v>85</v>
      </c>
      <c r="C10" s="42">
        <v>1.1400000000000001E-4</v>
      </c>
    </row>
    <row r="11" spans="1:3" ht="27" thickBot="1" x14ac:dyDescent="0.5">
      <c r="A11" s="42" t="s">
        <v>74</v>
      </c>
      <c r="B11" s="42" t="s">
        <v>94</v>
      </c>
      <c r="C11" s="42">
        <v>5.3000000000000001E-5</v>
      </c>
    </row>
    <row r="12" spans="1:3" ht="27" thickBot="1" x14ac:dyDescent="0.5">
      <c r="A12" s="42" t="s">
        <v>75</v>
      </c>
      <c r="B12" s="42" t="s">
        <v>95</v>
      </c>
      <c r="C12" s="42">
        <v>3.1000000000000001E-5</v>
      </c>
    </row>
    <row r="13" spans="1:3" ht="24" thickBot="1" x14ac:dyDescent="0.4">
      <c r="A13" s="42" t="s">
        <v>76</v>
      </c>
      <c r="B13" s="42" t="s">
        <v>86</v>
      </c>
      <c r="C13" s="42">
        <v>8.6999999999999997E-6</v>
      </c>
    </row>
    <row r="14" spans="1:3" ht="27" thickBot="1" x14ac:dyDescent="0.5">
      <c r="A14" s="42" t="s">
        <v>77</v>
      </c>
      <c r="B14" s="42" t="s">
        <v>96</v>
      </c>
      <c r="C14" s="42">
        <v>8.0000000000000004E-4</v>
      </c>
    </row>
    <row r="15" spans="1:3" ht="24" thickBot="1" x14ac:dyDescent="0.4">
      <c r="A15" s="42" t="s">
        <v>78</v>
      </c>
      <c r="B15" s="42" t="s">
        <v>87</v>
      </c>
      <c r="C15" s="42">
        <v>2.5000000000000001E-5</v>
      </c>
    </row>
    <row r="16" spans="1:3" ht="27" thickBot="1" x14ac:dyDescent="0.5">
      <c r="A16" s="42" t="s">
        <v>79</v>
      </c>
      <c r="B16" s="42" t="s">
        <v>97</v>
      </c>
      <c r="C16" s="42">
        <v>1.0000000000000001E-5</v>
      </c>
    </row>
    <row r="17" spans="1:3" ht="27" thickBot="1" x14ac:dyDescent="0.5">
      <c r="A17" s="42" t="s">
        <v>80</v>
      </c>
      <c r="B17" s="42" t="s">
        <v>98</v>
      </c>
      <c r="C17" s="42">
        <v>1.9999999999999999E-6</v>
      </c>
    </row>
    <row r="18" spans="1:3" ht="27" thickBot="1" x14ac:dyDescent="0.5">
      <c r="A18" s="42" t="s">
        <v>81</v>
      </c>
      <c r="B18" s="42" t="s">
        <v>99</v>
      </c>
      <c r="C18" s="42">
        <v>2.9999999999999999E-7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G6" sqref="G6"/>
    </sheetView>
  </sheetViews>
  <sheetFormatPr defaultRowHeight="15" x14ac:dyDescent="0.25"/>
  <cols>
    <col min="1" max="1" width="26.140625" customWidth="1"/>
    <col min="2" max="2" width="25.7109375" customWidth="1"/>
    <col min="3" max="3" width="30.42578125" customWidth="1"/>
  </cols>
  <sheetData>
    <row r="1" spans="1:3" ht="30.75" thickBot="1" x14ac:dyDescent="0.45">
      <c r="A1" s="59" t="s">
        <v>100</v>
      </c>
      <c r="B1" s="59"/>
      <c r="C1" s="59"/>
    </row>
    <row r="2" spans="1:3" ht="53.25" thickBot="1" x14ac:dyDescent="0.45">
      <c r="A2" s="44" t="s">
        <v>101</v>
      </c>
      <c r="B2" s="45" t="s">
        <v>102</v>
      </c>
      <c r="C2" s="45" t="s">
        <v>103</v>
      </c>
    </row>
    <row r="3" spans="1:3" ht="24" thickBot="1" x14ac:dyDescent="0.4">
      <c r="A3" s="42" t="s">
        <v>104</v>
      </c>
      <c r="B3" s="46">
        <v>100</v>
      </c>
      <c r="C3" s="46">
        <v>212</v>
      </c>
    </row>
    <row r="4" spans="1:3" ht="24" thickBot="1" x14ac:dyDescent="0.4">
      <c r="A4" s="42" t="s">
        <v>105</v>
      </c>
      <c r="B4" s="46">
        <v>40</v>
      </c>
      <c r="C4" s="46">
        <v>104</v>
      </c>
    </row>
    <row r="5" spans="1:3" ht="24" thickBot="1" x14ac:dyDescent="0.4">
      <c r="A5" s="42" t="s">
        <v>106</v>
      </c>
      <c r="B5" s="46">
        <v>37</v>
      </c>
      <c r="C5" s="46">
        <v>98.6</v>
      </c>
    </row>
    <row r="6" spans="1:3" ht="24" thickBot="1" x14ac:dyDescent="0.4">
      <c r="A6" s="42" t="s">
        <v>107</v>
      </c>
      <c r="B6" s="46">
        <v>21</v>
      </c>
      <c r="C6" s="46">
        <v>70</v>
      </c>
    </row>
    <row r="7" spans="1:3" ht="24" thickBot="1" x14ac:dyDescent="0.4">
      <c r="A7" s="42" t="s">
        <v>108</v>
      </c>
      <c r="B7" s="46">
        <v>10</v>
      </c>
      <c r="C7" s="46">
        <v>50</v>
      </c>
    </row>
    <row r="8" spans="1:3" ht="24" thickBot="1" x14ac:dyDescent="0.4">
      <c r="A8" s="42" t="s">
        <v>109</v>
      </c>
      <c r="B8" s="46">
        <v>0</v>
      </c>
      <c r="C8" s="46">
        <v>32</v>
      </c>
    </row>
    <row r="9" spans="1:3" ht="24" thickBot="1" x14ac:dyDescent="0.4">
      <c r="A9" s="42" t="s">
        <v>111</v>
      </c>
      <c r="B9" s="46">
        <v>-18</v>
      </c>
      <c r="C9" s="46">
        <v>0</v>
      </c>
    </row>
    <row r="10" spans="1:3" ht="24" thickBot="1" x14ac:dyDescent="0.4">
      <c r="A10" s="42" t="s">
        <v>110</v>
      </c>
      <c r="B10" s="46">
        <v>-40</v>
      </c>
      <c r="C10" s="46">
        <v>-40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12" sqref="D12"/>
    </sheetView>
  </sheetViews>
  <sheetFormatPr defaultRowHeight="15" x14ac:dyDescent="0.25"/>
  <cols>
    <col min="1" max="1" width="16.140625" customWidth="1"/>
    <col min="2" max="2" width="15.5703125" customWidth="1"/>
    <col min="3" max="3" width="29.140625" customWidth="1"/>
    <col min="4" max="4" width="38.28515625" customWidth="1"/>
  </cols>
  <sheetData>
    <row r="1" spans="1:6" ht="30.75" thickBot="1" x14ac:dyDescent="0.45">
      <c r="A1" s="59" t="s">
        <v>112</v>
      </c>
      <c r="B1" s="59"/>
      <c r="C1" s="59"/>
      <c r="D1" s="59"/>
    </row>
    <row r="2" spans="1:6" ht="27" thickBot="1" x14ac:dyDescent="0.45">
      <c r="A2" s="44" t="s">
        <v>113</v>
      </c>
      <c r="B2" s="44" t="s">
        <v>114</v>
      </c>
      <c r="C2" s="44" t="s">
        <v>115</v>
      </c>
      <c r="D2" s="44" t="s">
        <v>116</v>
      </c>
    </row>
    <row r="3" spans="1:6" ht="70.5" thickBot="1" x14ac:dyDescent="0.3">
      <c r="A3" s="52" t="s">
        <v>89</v>
      </c>
      <c r="B3" s="47" t="s">
        <v>119</v>
      </c>
      <c r="C3" s="48" t="s">
        <v>125</v>
      </c>
      <c r="D3" s="49" t="s">
        <v>127</v>
      </c>
    </row>
    <row r="4" spans="1:6" ht="47.25" thickBot="1" x14ac:dyDescent="0.4">
      <c r="A4" s="52" t="s">
        <v>117</v>
      </c>
      <c r="B4" s="47" t="s">
        <v>120</v>
      </c>
      <c r="C4" s="50" t="s">
        <v>124</v>
      </c>
      <c r="D4" s="50" t="s">
        <v>128</v>
      </c>
    </row>
    <row r="5" spans="1:6" ht="70.5" thickBot="1" x14ac:dyDescent="0.4">
      <c r="A5" s="52" t="s">
        <v>88</v>
      </c>
      <c r="B5" s="47" t="s">
        <v>121</v>
      </c>
      <c r="C5" s="47" t="s">
        <v>123</v>
      </c>
      <c r="D5" s="51" t="s">
        <v>129</v>
      </c>
      <c r="E5" s="27"/>
      <c r="F5" s="27"/>
    </row>
    <row r="6" spans="1:6" ht="47.25" thickBot="1" x14ac:dyDescent="0.4">
      <c r="A6" s="52" t="s">
        <v>118</v>
      </c>
      <c r="B6" s="47" t="s">
        <v>122</v>
      </c>
      <c r="C6" s="47" t="s">
        <v>126</v>
      </c>
      <c r="D6" s="50" t="s">
        <v>130</v>
      </c>
    </row>
    <row r="10" spans="1:6" x14ac:dyDescent="0.25">
      <c r="F10" s="43"/>
    </row>
  </sheetData>
  <mergeCells count="1">
    <mergeCell ref="A1:D1"/>
  </mergeCells>
  <pageMargins left="0.7" right="0.7" top="0.75" bottom="0.75" header="0.3" footer="0.3"/>
  <pageSetup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3" sqref="E3"/>
    </sheetView>
  </sheetViews>
  <sheetFormatPr defaultRowHeight="15" x14ac:dyDescent="0.25"/>
  <cols>
    <col min="1" max="1" width="21.28515625" customWidth="1"/>
    <col min="2" max="2" width="28.140625" customWidth="1"/>
    <col min="3" max="3" width="23.5703125" customWidth="1"/>
    <col min="4" max="4" width="21" bestFit="1" customWidth="1"/>
    <col min="5" max="5" width="26.7109375" customWidth="1"/>
  </cols>
  <sheetData>
    <row r="1" spans="1:5" ht="31.5" thickBot="1" x14ac:dyDescent="0.5">
      <c r="A1" s="60" t="s">
        <v>131</v>
      </c>
      <c r="B1" s="60"/>
      <c r="C1" s="60"/>
      <c r="D1" s="60"/>
      <c r="E1" s="60"/>
    </row>
    <row r="2" spans="1:5" ht="27" thickBot="1" x14ac:dyDescent="0.45">
      <c r="A2" s="44" t="s">
        <v>132</v>
      </c>
      <c r="B2" s="44" t="s">
        <v>144</v>
      </c>
      <c r="C2" s="44" t="s">
        <v>13</v>
      </c>
      <c r="D2" s="44" t="s">
        <v>143</v>
      </c>
      <c r="E2" s="44" t="s">
        <v>20</v>
      </c>
    </row>
    <row r="3" spans="1:5" ht="24" thickBot="1" x14ac:dyDescent="0.4">
      <c r="A3" s="46" t="s">
        <v>136</v>
      </c>
      <c r="B3" s="42" t="s">
        <v>141</v>
      </c>
      <c r="C3" s="53">
        <v>67000</v>
      </c>
      <c r="D3" s="53">
        <v>10000</v>
      </c>
      <c r="E3" s="54">
        <f>C3+D3</f>
        <v>77000</v>
      </c>
    </row>
    <row r="4" spans="1:5" ht="24" thickBot="1" x14ac:dyDescent="0.4">
      <c r="A4" s="46" t="s">
        <v>135</v>
      </c>
      <c r="B4" s="42" t="s">
        <v>140</v>
      </c>
      <c r="C4" s="53">
        <v>65500</v>
      </c>
      <c r="D4" s="53">
        <v>6500</v>
      </c>
      <c r="E4" s="54">
        <f>C4+D4</f>
        <v>72000</v>
      </c>
    </row>
    <row r="5" spans="1:5" ht="24" thickBot="1" x14ac:dyDescent="0.4">
      <c r="A5" s="46" t="s">
        <v>133</v>
      </c>
      <c r="B5" s="42" t="s">
        <v>138</v>
      </c>
      <c r="C5" s="53">
        <v>55000</v>
      </c>
      <c r="D5" s="53">
        <v>4500</v>
      </c>
      <c r="E5" s="54">
        <f>C5+D5</f>
        <v>59500</v>
      </c>
    </row>
    <row r="6" spans="1:5" ht="24" thickBot="1" x14ac:dyDescent="0.4">
      <c r="A6" s="46" t="s">
        <v>137</v>
      </c>
      <c r="B6" s="42" t="s">
        <v>142</v>
      </c>
      <c r="C6" s="53">
        <v>49800</v>
      </c>
      <c r="D6" s="53">
        <v>5400</v>
      </c>
      <c r="E6" s="54">
        <f>C6+D6</f>
        <v>55200</v>
      </c>
    </row>
    <row r="7" spans="1:5" ht="24" thickBot="1" x14ac:dyDescent="0.4">
      <c r="A7" s="46" t="s">
        <v>134</v>
      </c>
      <c r="B7" s="42" t="s">
        <v>139</v>
      </c>
      <c r="C7" s="53">
        <v>34000</v>
      </c>
      <c r="D7" s="53">
        <v>3600</v>
      </c>
      <c r="E7" s="54">
        <f>C7+D7</f>
        <v>37600</v>
      </c>
    </row>
  </sheetData>
  <autoFilter ref="A2:E7">
    <sortState ref="A3:E7">
      <sortCondition descending="1" ref="E3"/>
    </sortState>
  </autoFilter>
  <mergeCells count="1">
    <mergeCell ref="A1:E1"/>
  </mergeCells>
  <pageMargins left="0.7" right="0.7" top="0.75" bottom="0.75" header="0.3" footer="0.3"/>
  <pageSetup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"/>
    </sheetView>
  </sheetViews>
  <sheetFormatPr defaultRowHeight="15" x14ac:dyDescent="0.25"/>
  <cols>
    <col min="2" max="2" width="9.5703125" customWidth="1"/>
    <col min="3" max="3" width="21" customWidth="1"/>
    <col min="4" max="4" width="17.85546875" bestFit="1" customWidth="1"/>
  </cols>
  <sheetData>
    <row r="1" spans="1:3" x14ac:dyDescent="0.25">
      <c r="A1" t="s">
        <v>146</v>
      </c>
      <c r="B1" t="s">
        <v>145</v>
      </c>
      <c r="C1" t="s">
        <v>147</v>
      </c>
    </row>
    <row r="2" spans="1:3" x14ac:dyDescent="0.25">
      <c r="A2" t="s">
        <v>149</v>
      </c>
      <c r="B2" t="s">
        <v>148</v>
      </c>
      <c r="C2" t="s">
        <v>156</v>
      </c>
    </row>
    <row r="3" spans="1:3" x14ac:dyDescent="0.25">
      <c r="A3" t="s">
        <v>151</v>
      </c>
      <c r="B3" t="s">
        <v>150</v>
      </c>
      <c r="C3" t="s">
        <v>157</v>
      </c>
    </row>
    <row r="4" spans="1:3" x14ac:dyDescent="0.25">
      <c r="A4" t="s">
        <v>153</v>
      </c>
      <c r="B4" t="s">
        <v>152</v>
      </c>
    </row>
    <row r="5" spans="1:3" x14ac:dyDescent="0.25">
      <c r="A5" t="s">
        <v>155</v>
      </c>
      <c r="B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Sheet10</vt:lpstr>
      <vt:lpstr>Sheet9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Khan</dc:creator>
  <cp:lastModifiedBy>Kiran Khan</cp:lastModifiedBy>
  <cp:lastPrinted>2026-01-01T19:39:54Z</cp:lastPrinted>
  <dcterms:created xsi:type="dcterms:W3CDTF">2026-01-01T15:08:43Z</dcterms:created>
  <dcterms:modified xsi:type="dcterms:W3CDTF">2026-01-01T20:45:52Z</dcterms:modified>
</cp:coreProperties>
</file>